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af\OneDrive\Desktop\"/>
    </mc:Choice>
  </mc:AlternateContent>
  <xr:revisionPtr revIDLastSave="0" documentId="8_{5DAD84E2-4D3D-41FE-8B5B-E2EF837F30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11" i="2"/>
  <c r="F4" i="2"/>
  <c r="F11" i="2"/>
  <c r="E3" i="2"/>
  <c r="E4" i="2"/>
  <c r="E5" i="2"/>
  <c r="E6" i="2"/>
  <c r="E7" i="2"/>
  <c r="E8" i="2"/>
  <c r="E9" i="2"/>
  <c r="E10" i="2"/>
  <c r="E11" i="2"/>
  <c r="E2" i="2"/>
  <c r="D3" i="2"/>
  <c r="F3" i="2" s="1"/>
  <c r="G3" i="2" s="1"/>
  <c r="D4" i="2"/>
  <c r="D5" i="2"/>
  <c r="D6" i="2"/>
  <c r="D7" i="2"/>
  <c r="F7" i="2" s="1"/>
  <c r="G7" i="2" s="1"/>
  <c r="D8" i="2"/>
  <c r="F8" i="2" s="1"/>
  <c r="G8" i="2" s="1"/>
  <c r="D9" i="2"/>
  <c r="D10" i="2"/>
  <c r="F10" i="2" s="1"/>
  <c r="G10" i="2" s="1"/>
  <c r="D11" i="2"/>
  <c r="D2" i="2"/>
  <c r="F6" i="2" l="1"/>
  <c r="G6" i="2" s="1"/>
  <c r="F5" i="2"/>
  <c r="G5" i="2" s="1"/>
  <c r="F2" i="2"/>
  <c r="G2" i="2" s="1"/>
  <c r="F9" i="2"/>
  <c r="G9" i="2" s="1"/>
  <c r="K4" i="1"/>
  <c r="L4" i="1" s="1"/>
  <c r="K5" i="1"/>
  <c r="L5" i="1" s="1"/>
  <c r="K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K15" i="1"/>
  <c r="K16" i="1"/>
  <c r="K17" i="1"/>
  <c r="K18" i="1"/>
  <c r="L18" i="1" s="1"/>
  <c r="K19" i="1"/>
  <c r="L19" i="1" s="1"/>
  <c r="K20" i="1"/>
  <c r="L20" i="1" s="1"/>
  <c r="K3" i="1"/>
  <c r="L3" i="1" s="1"/>
  <c r="K2" i="1"/>
  <c r="L2" i="1" s="1"/>
  <c r="L6" i="1"/>
  <c r="L14" i="1"/>
  <c r="L15" i="1"/>
  <c r="L16" i="1"/>
  <c r="L17" i="1"/>
  <c r="J12" i="1"/>
  <c r="J11" i="1"/>
  <c r="J20" i="1"/>
  <c r="J19" i="1"/>
  <c r="J18" i="1"/>
  <c r="J17" i="1"/>
  <c r="J16" i="1"/>
  <c r="J9" i="1"/>
  <c r="J8" i="1"/>
  <c r="J7" i="1"/>
  <c r="J6" i="1"/>
  <c r="J5" i="1"/>
  <c r="J4" i="1"/>
  <c r="J3" i="1"/>
  <c r="J2" i="1"/>
  <c r="J13" i="1"/>
  <c r="J14" i="1"/>
  <c r="J15" i="1"/>
  <c r="J10" i="1"/>
</calcChain>
</file>

<file path=xl/sharedStrings.xml><?xml version="1.0" encoding="utf-8"?>
<sst xmlns="http://schemas.openxmlformats.org/spreadsheetml/2006/main" count="90" uniqueCount="74">
  <si>
    <t>Name</t>
  </si>
  <si>
    <t>PRN</t>
  </si>
  <si>
    <t>Math</t>
  </si>
  <si>
    <t>Science</t>
  </si>
  <si>
    <t>English</t>
  </si>
  <si>
    <t>History</t>
  </si>
  <si>
    <t>Aarav Mehta</t>
  </si>
  <si>
    <t>PRN1001</t>
  </si>
  <si>
    <t>Isha Patel</t>
  </si>
  <si>
    <t>PRN1002</t>
  </si>
  <si>
    <t>Rohan Shah</t>
  </si>
  <si>
    <t>PRN1003</t>
  </si>
  <si>
    <t>Anaya Desai</t>
  </si>
  <si>
    <t>PRN1004</t>
  </si>
  <si>
    <t>Vihaan Joshi</t>
  </si>
  <si>
    <t>PRN1005</t>
  </si>
  <si>
    <t>Sara Kapoor</t>
  </si>
  <si>
    <t>PRN1006</t>
  </si>
  <si>
    <t>Arjun Reddy</t>
  </si>
  <si>
    <t>PRN1007</t>
  </si>
  <si>
    <t>Kiara Singh</t>
  </si>
  <si>
    <t>PRN1008</t>
  </si>
  <si>
    <t>Devansh Malhotra</t>
  </si>
  <si>
    <t>PRN1009</t>
  </si>
  <si>
    <t>Tanya Verma</t>
  </si>
  <si>
    <t>PRN1010</t>
  </si>
  <si>
    <t>Kabir Chauhan</t>
  </si>
  <si>
    <t>PRN1011</t>
  </si>
  <si>
    <t>Nisha Bhatia</t>
  </si>
  <si>
    <t>PRN1012</t>
  </si>
  <si>
    <t>Yuvraj Nair</t>
  </si>
  <si>
    <t>PRN1013</t>
  </si>
  <si>
    <t>Meera Sethi</t>
  </si>
  <si>
    <t>PRN1014</t>
  </si>
  <si>
    <t>Kunal Agarwal</t>
  </si>
  <si>
    <t>PRN1015</t>
  </si>
  <si>
    <t>Rhea Menon</t>
  </si>
  <si>
    <t>PRN1016</t>
  </si>
  <si>
    <t>Aditya Kulkarni</t>
  </si>
  <si>
    <t>PRN1017</t>
  </si>
  <si>
    <t>Sneha Ghosh</t>
  </si>
  <si>
    <t>PRN1018</t>
  </si>
  <si>
    <t>Manav Saxena</t>
  </si>
  <si>
    <t>PRN1019</t>
  </si>
  <si>
    <t>Hindi</t>
  </si>
  <si>
    <t>Percentage</t>
  </si>
  <si>
    <t>total</t>
  </si>
  <si>
    <t>RESULT</t>
  </si>
  <si>
    <t>Distinction</t>
  </si>
  <si>
    <t>OPTIONAL</t>
  </si>
  <si>
    <t>A</t>
  </si>
  <si>
    <t>D</t>
  </si>
  <si>
    <t>C</t>
  </si>
  <si>
    <t>B</t>
  </si>
  <si>
    <t>uui</t>
  </si>
  <si>
    <t>HRA</t>
  </si>
  <si>
    <t>DA</t>
  </si>
  <si>
    <t>Employee ID</t>
  </si>
  <si>
    <t>Basic Salary</t>
  </si>
  <si>
    <t>Total Salary</t>
  </si>
  <si>
    <t>Taxable</t>
  </si>
  <si>
    <t>Alice</t>
  </si>
  <si>
    <t>Bob</t>
  </si>
  <si>
    <t>Charlie</t>
  </si>
  <si>
    <t>Diana</t>
  </si>
  <si>
    <t>Ethan</t>
  </si>
  <si>
    <t>Fiona</t>
  </si>
  <si>
    <t>George</t>
  </si>
  <si>
    <t>Hannah</t>
  </si>
  <si>
    <t>Ian</t>
  </si>
  <si>
    <t>Julia</t>
  </si>
  <si>
    <t>10% OF TAXABLE AMONT</t>
  </si>
  <si>
    <r>
      <rPr>
        <b/>
        <sz val="9"/>
        <color theme="1"/>
        <rFont val="Calibri"/>
        <family val="2"/>
        <scheme val="minor"/>
      </rPr>
      <t>20% OF TAXABLE AMOUN</t>
    </r>
    <r>
      <rPr>
        <b/>
        <sz val="11"/>
        <color theme="1"/>
        <rFont val="Calibri"/>
        <family val="2"/>
        <scheme val="minor"/>
      </rPr>
      <t>T</t>
    </r>
  </si>
  <si>
    <t>30% OF TAXABLE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</si>
</sst>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1" xfId="1"/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zoomScale="110" zoomScaleNormal="110" workbookViewId="0">
      <selection activeCell="L6" sqref="L6"/>
    </sheetView>
  </sheetViews>
  <sheetFormatPr defaultRowHeight="14.4" x14ac:dyDescent="0.3"/>
  <cols>
    <col min="1" max="1" width="13.88671875" customWidth="1"/>
    <col min="7" max="7" width="11" customWidth="1"/>
    <col min="8" max="8" width="12.6640625" customWidth="1"/>
    <col min="9" max="9" width="11.6640625" customWidth="1"/>
    <col min="12" max="12" width="11.33203125" customWidth="1"/>
    <col min="17" max="17" width="11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49</v>
      </c>
      <c r="I1" s="3" t="s">
        <v>45</v>
      </c>
      <c r="J1" s="1" t="s">
        <v>46</v>
      </c>
      <c r="K1" s="1" t="s">
        <v>47</v>
      </c>
      <c r="L1" s="1" t="s">
        <v>48</v>
      </c>
    </row>
    <row r="2" spans="1:18" x14ac:dyDescent="0.3">
      <c r="A2" s="2" t="s">
        <v>6</v>
      </c>
      <c r="B2" s="2" t="s">
        <v>7</v>
      </c>
      <c r="C2" s="2">
        <v>85</v>
      </c>
      <c r="D2" s="2">
        <v>78</v>
      </c>
      <c r="E2" s="2">
        <v>90</v>
      </c>
      <c r="F2" s="2">
        <v>82</v>
      </c>
      <c r="G2" s="2">
        <v>87</v>
      </c>
      <c r="H2" t="s">
        <v>50</v>
      </c>
      <c r="I2" s="2">
        <v>84.4</v>
      </c>
      <c r="J2" s="2">
        <f t="shared" ref="J2:J9" si="0">SUM(C2:G2)</f>
        <v>422</v>
      </c>
      <c r="K2" t="str">
        <f>IF(AND(C4&gt;=50,D4&gt;=50,E4&gt;=50,F4&gt;=50,G4&gt;=50),"Pass","Fail")</f>
        <v>Pass</v>
      </c>
      <c r="L2" t="str">
        <f t="shared" ref="L2:L20" si="1">IF(MIN(I2&gt;=75,K2="Pass"), "Distinction", "no")</f>
        <v>Distinction</v>
      </c>
      <c r="M2" s="1"/>
    </row>
    <row r="3" spans="1:18" x14ac:dyDescent="0.3">
      <c r="A3" s="2" t="s">
        <v>8</v>
      </c>
      <c r="B3" s="2" t="s">
        <v>9</v>
      </c>
      <c r="C3" s="2">
        <v>76</v>
      </c>
      <c r="D3" s="2">
        <v>88</v>
      </c>
      <c r="E3" s="2">
        <v>49</v>
      </c>
      <c r="F3" s="2">
        <v>85</v>
      </c>
      <c r="G3" s="2">
        <v>90</v>
      </c>
      <c r="H3" t="s">
        <v>52</v>
      </c>
      <c r="I3" s="2">
        <v>82.2</v>
      </c>
      <c r="J3">
        <f t="shared" si="0"/>
        <v>388</v>
      </c>
      <c r="K3" t="str">
        <f>IF(AND(C3&gt;=50,D3&gt;=50,E3&gt;=50,F3&gt;=50,G3&gt;=50,OR(H3="A", H3="B", H3="C")),"Pass","Fail")</f>
        <v>Fail</v>
      </c>
      <c r="L3" t="str">
        <f t="shared" si="1"/>
        <v>no</v>
      </c>
    </row>
    <row r="4" spans="1:18" x14ac:dyDescent="0.3">
      <c r="A4" s="2" t="s">
        <v>10</v>
      </c>
      <c r="B4" s="2" t="s">
        <v>11</v>
      </c>
      <c r="C4" s="2">
        <v>92</v>
      </c>
      <c r="D4" s="2">
        <v>91</v>
      </c>
      <c r="E4" s="2">
        <v>95</v>
      </c>
      <c r="F4" s="2">
        <v>88</v>
      </c>
      <c r="G4" s="2">
        <v>90</v>
      </c>
      <c r="H4" t="s">
        <v>53</v>
      </c>
      <c r="I4" s="2">
        <v>91.2</v>
      </c>
      <c r="J4">
        <f t="shared" si="0"/>
        <v>456</v>
      </c>
      <c r="K4" t="str">
        <f t="shared" ref="K4:K20" si="2">IF(AND(C4&gt;=50,D4&gt;=50,E4&gt;=50,F4&gt;=50,G4&gt;=50,OR(H4="A", H4="B", H4="C")),"Pass","Fail")</f>
        <v>Pass</v>
      </c>
      <c r="L4" t="str">
        <f t="shared" si="1"/>
        <v>Distinction</v>
      </c>
    </row>
    <row r="5" spans="1:18" x14ac:dyDescent="0.3">
      <c r="A5" s="2" t="s">
        <v>12</v>
      </c>
      <c r="B5" s="2" t="s">
        <v>13</v>
      </c>
      <c r="C5" s="2">
        <v>68</v>
      </c>
      <c r="D5" s="2">
        <v>74</v>
      </c>
      <c r="E5" s="2">
        <v>70</v>
      </c>
      <c r="F5" s="2">
        <v>65</v>
      </c>
      <c r="G5" s="2">
        <v>72</v>
      </c>
      <c r="H5" t="s">
        <v>50</v>
      </c>
      <c r="I5" s="2">
        <v>69.8</v>
      </c>
      <c r="J5">
        <f t="shared" si="0"/>
        <v>349</v>
      </c>
      <c r="K5" t="str">
        <f t="shared" si="2"/>
        <v>Pass</v>
      </c>
      <c r="L5" t="str">
        <f t="shared" si="1"/>
        <v>no</v>
      </c>
    </row>
    <row r="6" spans="1:18" x14ac:dyDescent="0.3">
      <c r="A6" s="2" t="s">
        <v>14</v>
      </c>
      <c r="B6" s="2" t="s">
        <v>15</v>
      </c>
      <c r="C6" s="2">
        <v>80</v>
      </c>
      <c r="D6" s="2">
        <v>85</v>
      </c>
      <c r="E6" s="2">
        <v>78</v>
      </c>
      <c r="F6" s="2">
        <v>79</v>
      </c>
      <c r="G6" s="2">
        <v>84</v>
      </c>
      <c r="H6" t="s">
        <v>51</v>
      </c>
      <c r="I6" s="2">
        <v>81.2</v>
      </c>
      <c r="J6">
        <f t="shared" si="0"/>
        <v>406</v>
      </c>
      <c r="K6" t="str">
        <f t="shared" si="2"/>
        <v>Fail</v>
      </c>
      <c r="L6" t="str">
        <f t="shared" si="1"/>
        <v>no</v>
      </c>
      <c r="R6" t="s">
        <v>54</v>
      </c>
    </row>
    <row r="7" spans="1:18" x14ac:dyDescent="0.3">
      <c r="A7" s="2" t="s">
        <v>16</v>
      </c>
      <c r="B7" s="2" t="s">
        <v>17</v>
      </c>
      <c r="C7" s="2">
        <v>90</v>
      </c>
      <c r="D7" s="2">
        <v>87</v>
      </c>
      <c r="E7" s="2">
        <v>92</v>
      </c>
      <c r="F7" s="2">
        <v>88</v>
      </c>
      <c r="G7" s="2">
        <v>91</v>
      </c>
      <c r="H7" t="s">
        <v>50</v>
      </c>
      <c r="I7" s="2">
        <v>89.6</v>
      </c>
      <c r="J7" s="2">
        <f t="shared" si="0"/>
        <v>448</v>
      </c>
      <c r="K7" t="str">
        <f t="shared" si="2"/>
        <v>Pass</v>
      </c>
      <c r="L7" t="str">
        <f t="shared" si="1"/>
        <v>Distinction</v>
      </c>
    </row>
    <row r="8" spans="1:18" x14ac:dyDescent="0.3">
      <c r="A8" s="2" t="s">
        <v>18</v>
      </c>
      <c r="B8" s="2" t="s">
        <v>19</v>
      </c>
      <c r="C8" s="2">
        <v>60</v>
      </c>
      <c r="D8" s="2">
        <v>65</v>
      </c>
      <c r="E8" s="2">
        <v>58</v>
      </c>
      <c r="F8" s="2">
        <v>62</v>
      </c>
      <c r="G8" s="2">
        <v>66</v>
      </c>
      <c r="H8" t="s">
        <v>53</v>
      </c>
      <c r="I8" s="2">
        <v>62.2</v>
      </c>
      <c r="J8">
        <f t="shared" si="0"/>
        <v>311</v>
      </c>
      <c r="K8" t="str">
        <f t="shared" si="2"/>
        <v>Pass</v>
      </c>
      <c r="L8" t="str">
        <f t="shared" si="1"/>
        <v>no</v>
      </c>
    </row>
    <row r="9" spans="1:18" x14ac:dyDescent="0.3">
      <c r="A9" s="2" t="s">
        <v>20</v>
      </c>
      <c r="B9" s="2" t="s">
        <v>21</v>
      </c>
      <c r="C9" s="2">
        <v>88</v>
      </c>
      <c r="D9" s="2">
        <v>90</v>
      </c>
      <c r="E9" s="2">
        <v>85</v>
      </c>
      <c r="F9" s="2">
        <v>87</v>
      </c>
      <c r="G9" s="2">
        <v>89</v>
      </c>
      <c r="H9" t="s">
        <v>52</v>
      </c>
      <c r="I9" s="2">
        <v>87.8</v>
      </c>
      <c r="J9">
        <f t="shared" si="0"/>
        <v>439</v>
      </c>
      <c r="K9" t="str">
        <f t="shared" si="2"/>
        <v>Pass</v>
      </c>
      <c r="L9" t="str">
        <f t="shared" si="1"/>
        <v>Distinction</v>
      </c>
    </row>
    <row r="10" spans="1:18" ht="28.8" x14ac:dyDescent="0.3">
      <c r="A10" s="2" t="s">
        <v>22</v>
      </c>
      <c r="B10" s="2" t="s">
        <v>23</v>
      </c>
      <c r="C10" s="2">
        <v>75</v>
      </c>
      <c r="D10" s="2">
        <v>72</v>
      </c>
      <c r="E10" s="2">
        <v>70</v>
      </c>
      <c r="F10" s="2">
        <v>68</v>
      </c>
      <c r="G10" s="2">
        <v>73</v>
      </c>
      <c r="H10" t="s">
        <v>51</v>
      </c>
      <c r="I10" s="2">
        <v>71.599999999999994</v>
      </c>
      <c r="J10">
        <f>SUM(C10:I10)</f>
        <v>429.6</v>
      </c>
      <c r="K10" t="str">
        <f t="shared" si="2"/>
        <v>Fail</v>
      </c>
      <c r="L10" t="str">
        <f t="shared" si="1"/>
        <v>no</v>
      </c>
    </row>
    <row r="11" spans="1:18" x14ac:dyDescent="0.3">
      <c r="A11" s="2" t="s">
        <v>24</v>
      </c>
      <c r="B11" s="2" t="s">
        <v>25</v>
      </c>
      <c r="C11" s="2">
        <v>95</v>
      </c>
      <c r="D11" s="2">
        <v>94</v>
      </c>
      <c r="E11" s="2">
        <v>97</v>
      </c>
      <c r="F11" s="2">
        <v>92</v>
      </c>
      <c r="G11" s="2">
        <v>96</v>
      </c>
      <c r="H11" t="s">
        <v>50</v>
      </c>
      <c r="I11" s="2">
        <v>94.8</v>
      </c>
      <c r="J11">
        <f t="shared" ref="J11:J20" si="3">SUM(C11:G11)</f>
        <v>474</v>
      </c>
      <c r="K11" t="str">
        <f t="shared" si="2"/>
        <v>Pass</v>
      </c>
      <c r="L11" t="str">
        <f t="shared" si="1"/>
        <v>Distinction</v>
      </c>
    </row>
    <row r="12" spans="1:18" x14ac:dyDescent="0.3">
      <c r="A12" s="2" t="s">
        <v>26</v>
      </c>
      <c r="B12" s="2" t="s">
        <v>27</v>
      </c>
      <c r="C12" s="2">
        <v>82</v>
      </c>
      <c r="D12" s="2">
        <v>80</v>
      </c>
      <c r="E12" s="2">
        <v>78</v>
      </c>
      <c r="F12" s="2">
        <v>76</v>
      </c>
      <c r="G12" s="2">
        <v>79</v>
      </c>
      <c r="H12" t="s">
        <v>53</v>
      </c>
      <c r="I12" s="2">
        <v>79</v>
      </c>
      <c r="J12">
        <f t="shared" si="3"/>
        <v>395</v>
      </c>
      <c r="K12" t="str">
        <f t="shared" si="2"/>
        <v>Pass</v>
      </c>
      <c r="L12" t="str">
        <f t="shared" si="1"/>
        <v>Distinction</v>
      </c>
    </row>
    <row r="13" spans="1:18" x14ac:dyDescent="0.3">
      <c r="A13" s="2" t="s">
        <v>28</v>
      </c>
      <c r="B13" s="2" t="s">
        <v>29</v>
      </c>
      <c r="C13" s="2">
        <v>85</v>
      </c>
      <c r="D13" s="2">
        <v>88</v>
      </c>
      <c r="E13" s="2">
        <v>84</v>
      </c>
      <c r="F13" s="2">
        <v>86</v>
      </c>
      <c r="G13" s="2">
        <v>90</v>
      </c>
      <c r="H13" t="s">
        <v>53</v>
      </c>
      <c r="I13" s="2">
        <v>86.6</v>
      </c>
      <c r="J13">
        <f t="shared" si="3"/>
        <v>433</v>
      </c>
      <c r="K13" t="str">
        <f t="shared" si="2"/>
        <v>Pass</v>
      </c>
      <c r="L13" t="str">
        <f t="shared" si="1"/>
        <v>Distinction</v>
      </c>
    </row>
    <row r="14" spans="1:18" ht="15" thickBot="1" x14ac:dyDescent="0.35">
      <c r="A14" s="2" t="s">
        <v>30</v>
      </c>
      <c r="B14" s="2" t="s">
        <v>31</v>
      </c>
      <c r="C14" s="2">
        <v>65</v>
      </c>
      <c r="D14" s="2">
        <v>70</v>
      </c>
      <c r="E14" s="2">
        <v>68</v>
      </c>
      <c r="F14" s="2">
        <v>66</v>
      </c>
      <c r="G14" s="2">
        <v>69</v>
      </c>
      <c r="H14" t="s">
        <v>53</v>
      </c>
      <c r="I14" s="2">
        <v>67.599999999999994</v>
      </c>
      <c r="J14">
        <f t="shared" si="3"/>
        <v>338</v>
      </c>
      <c r="K14" t="str">
        <f t="shared" si="2"/>
        <v>Pass</v>
      </c>
      <c r="L14" t="str">
        <f t="shared" si="1"/>
        <v>no</v>
      </c>
      <c r="R14" s="4"/>
    </row>
    <row r="15" spans="1:18" ht="15" thickTop="1" x14ac:dyDescent="0.3">
      <c r="A15" s="2" t="s">
        <v>32</v>
      </c>
      <c r="B15" s="2" t="s">
        <v>33</v>
      </c>
      <c r="C15" s="2">
        <v>89</v>
      </c>
      <c r="D15" s="2">
        <v>92</v>
      </c>
      <c r="E15" s="2">
        <v>94</v>
      </c>
      <c r="F15" s="2">
        <v>90</v>
      </c>
      <c r="G15" s="2">
        <v>91</v>
      </c>
      <c r="H15" t="s">
        <v>52</v>
      </c>
      <c r="I15" s="2">
        <v>91.2</v>
      </c>
      <c r="J15">
        <f t="shared" si="3"/>
        <v>456</v>
      </c>
      <c r="K15" t="str">
        <f t="shared" si="2"/>
        <v>Pass</v>
      </c>
      <c r="L15" t="str">
        <f t="shared" si="1"/>
        <v>Distinction</v>
      </c>
    </row>
    <row r="16" spans="1:18" x14ac:dyDescent="0.3">
      <c r="A16" s="2" t="s">
        <v>34</v>
      </c>
      <c r="B16" s="2" t="s">
        <v>35</v>
      </c>
      <c r="C16" s="2">
        <v>70</v>
      </c>
      <c r="D16" s="2">
        <v>68</v>
      </c>
      <c r="E16" s="2">
        <v>72</v>
      </c>
      <c r="F16" s="2">
        <v>65</v>
      </c>
      <c r="G16" s="2">
        <v>71</v>
      </c>
      <c r="H16" t="s">
        <v>50</v>
      </c>
      <c r="I16" s="2">
        <v>69.2</v>
      </c>
      <c r="J16">
        <f t="shared" si="3"/>
        <v>346</v>
      </c>
      <c r="K16" t="str">
        <f t="shared" si="2"/>
        <v>Pass</v>
      </c>
      <c r="L16" t="str">
        <f t="shared" si="1"/>
        <v>no</v>
      </c>
    </row>
    <row r="17" spans="1:12" x14ac:dyDescent="0.3">
      <c r="A17" s="2" t="s">
        <v>36</v>
      </c>
      <c r="B17" s="2" t="s">
        <v>37</v>
      </c>
      <c r="C17" s="2">
        <v>83</v>
      </c>
      <c r="D17" s="2">
        <v>85</v>
      </c>
      <c r="E17" s="2">
        <v>80</v>
      </c>
      <c r="F17" s="2">
        <v>84</v>
      </c>
      <c r="G17" s="2">
        <v>86</v>
      </c>
      <c r="H17" t="s">
        <v>51</v>
      </c>
      <c r="I17" s="2">
        <v>83.6</v>
      </c>
      <c r="J17">
        <f t="shared" si="3"/>
        <v>418</v>
      </c>
      <c r="K17" t="str">
        <f t="shared" si="2"/>
        <v>Fail</v>
      </c>
      <c r="L17" t="str">
        <f t="shared" si="1"/>
        <v>no</v>
      </c>
    </row>
    <row r="18" spans="1:12" x14ac:dyDescent="0.3">
      <c r="A18" s="2" t="s">
        <v>38</v>
      </c>
      <c r="B18" s="2" t="s">
        <v>39</v>
      </c>
      <c r="C18" s="2">
        <v>77</v>
      </c>
      <c r="D18" s="2">
        <v>79</v>
      </c>
      <c r="E18" s="2">
        <v>12</v>
      </c>
      <c r="F18" s="2">
        <v>80</v>
      </c>
      <c r="G18" s="2">
        <v>82</v>
      </c>
      <c r="H18" t="s">
        <v>50</v>
      </c>
      <c r="I18" s="2">
        <v>78.599999999999994</v>
      </c>
      <c r="J18">
        <f t="shared" si="3"/>
        <v>330</v>
      </c>
      <c r="K18" t="str">
        <f t="shared" si="2"/>
        <v>Fail</v>
      </c>
      <c r="L18" t="str">
        <f t="shared" si="1"/>
        <v>no</v>
      </c>
    </row>
    <row r="19" spans="1:12" x14ac:dyDescent="0.3">
      <c r="A19" s="2" t="s">
        <v>40</v>
      </c>
      <c r="B19" s="2" t="s">
        <v>41</v>
      </c>
      <c r="C19" s="2">
        <v>91</v>
      </c>
      <c r="D19" s="2">
        <v>90</v>
      </c>
      <c r="E19" s="2">
        <v>88</v>
      </c>
      <c r="F19" s="2">
        <v>89</v>
      </c>
      <c r="G19" s="2">
        <v>92</v>
      </c>
      <c r="H19" t="s">
        <v>52</v>
      </c>
      <c r="I19" s="2">
        <v>90</v>
      </c>
      <c r="J19">
        <f t="shared" si="3"/>
        <v>450</v>
      </c>
      <c r="K19" t="str">
        <f t="shared" si="2"/>
        <v>Pass</v>
      </c>
      <c r="L19" t="str">
        <f t="shared" si="1"/>
        <v>Distinction</v>
      </c>
    </row>
    <row r="20" spans="1:12" x14ac:dyDescent="0.3">
      <c r="A20" s="2" t="s">
        <v>42</v>
      </c>
      <c r="B20" s="2" t="s">
        <v>43</v>
      </c>
      <c r="C20" s="2">
        <v>66</v>
      </c>
      <c r="D20" s="2">
        <v>68</v>
      </c>
      <c r="E20" s="2">
        <v>64</v>
      </c>
      <c r="F20" s="2">
        <v>70</v>
      </c>
      <c r="G20" s="2">
        <v>67</v>
      </c>
      <c r="H20" t="s">
        <v>53</v>
      </c>
      <c r="I20" s="2">
        <v>67</v>
      </c>
      <c r="J20">
        <f t="shared" si="3"/>
        <v>335</v>
      </c>
      <c r="K20" t="str">
        <f t="shared" si="2"/>
        <v>Pass</v>
      </c>
      <c r="L20" t="str">
        <f t="shared" si="1"/>
        <v>no</v>
      </c>
    </row>
    <row r="21" spans="1:12" x14ac:dyDescent="0.3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zoomScaleNormal="100" workbookViewId="0">
      <selection activeCell="O10" sqref="O10"/>
    </sheetView>
  </sheetViews>
  <sheetFormatPr defaultRowHeight="14.4" x14ac:dyDescent="0.3"/>
  <cols>
    <col min="1" max="1" width="11.109375" customWidth="1"/>
    <col min="3" max="3" width="11.109375" customWidth="1"/>
    <col min="6" max="6" width="11" customWidth="1"/>
    <col min="7" max="7" width="9.109375"/>
    <col min="8" max="8" width="12.5546875" customWidth="1"/>
    <col min="9" max="9" width="15.109375" customWidth="1"/>
  </cols>
  <sheetData>
    <row r="1" spans="1:10" ht="36" x14ac:dyDescent="0.3">
      <c r="A1" s="1" t="s">
        <v>57</v>
      </c>
      <c r="B1" s="1" t="s">
        <v>0</v>
      </c>
      <c r="C1" s="1" t="s">
        <v>58</v>
      </c>
      <c r="D1" s="1" t="s">
        <v>55</v>
      </c>
      <c r="E1" s="1" t="s">
        <v>56</v>
      </c>
      <c r="F1" s="1" t="s">
        <v>59</v>
      </c>
      <c r="G1" s="1" t="s">
        <v>60</v>
      </c>
      <c r="H1" s="6" t="s">
        <v>71</v>
      </c>
      <c r="I1" s="1" t="s">
        <v>72</v>
      </c>
      <c r="J1" s="6" t="s">
        <v>73</v>
      </c>
    </row>
    <row r="2" spans="1:10" x14ac:dyDescent="0.3">
      <c r="A2" s="2">
        <v>101</v>
      </c>
      <c r="B2" s="2" t="s">
        <v>61</v>
      </c>
      <c r="C2" s="5">
        <v>60000</v>
      </c>
      <c r="D2" s="5">
        <f>C2*15%</f>
        <v>9000</v>
      </c>
      <c r="E2" s="5">
        <f>C2*200%</f>
        <v>120000</v>
      </c>
      <c r="F2" s="5">
        <f>SUM(C2:E2)</f>
        <v>189000</v>
      </c>
      <c r="G2" s="2">
        <f>IF(F2&gt;200000,F2*30%,IF(F2&gt;150000,F2*20%,IF(F2&gt;125000,F2*10%,0)))</f>
        <v>37800</v>
      </c>
    </row>
    <row r="3" spans="1:10" x14ac:dyDescent="0.3">
      <c r="A3" s="2">
        <v>102</v>
      </c>
      <c r="B3" s="2" t="s">
        <v>62</v>
      </c>
      <c r="C3" s="5">
        <v>55000</v>
      </c>
      <c r="D3" s="5">
        <f t="shared" ref="D3:D11" si="0">C3*15%</f>
        <v>8250</v>
      </c>
      <c r="E3" s="5">
        <f t="shared" ref="E3:E11" si="1">C3*200%</f>
        <v>110000</v>
      </c>
      <c r="F3" s="5">
        <f t="shared" ref="F3:F11" si="2">SUM(C3:E3)</f>
        <v>173250</v>
      </c>
      <c r="G3" s="2">
        <f t="shared" ref="G3:G11" si="3">IF(F3&gt;200000,F3*30%,IF(F3&gt;150000,F3*20%,IF(F3&gt;125000,F3*10%,0)))</f>
        <v>34650</v>
      </c>
    </row>
    <row r="4" spans="1:10" x14ac:dyDescent="0.3">
      <c r="A4" s="2">
        <v>103</v>
      </c>
      <c r="B4" s="2" t="s">
        <v>63</v>
      </c>
      <c r="C4" s="5">
        <v>59000</v>
      </c>
      <c r="D4" s="5">
        <f t="shared" si="0"/>
        <v>8850</v>
      </c>
      <c r="E4" s="5">
        <f t="shared" si="1"/>
        <v>118000</v>
      </c>
      <c r="F4" s="5">
        <f t="shared" si="2"/>
        <v>185850</v>
      </c>
      <c r="G4" s="2">
        <f t="shared" si="3"/>
        <v>37170</v>
      </c>
    </row>
    <row r="5" spans="1:10" x14ac:dyDescent="0.3">
      <c r="A5" s="2">
        <v>104</v>
      </c>
      <c r="B5" s="2" t="s">
        <v>64</v>
      </c>
      <c r="C5" s="5">
        <v>78000</v>
      </c>
      <c r="D5" s="5">
        <f t="shared" si="0"/>
        <v>11700</v>
      </c>
      <c r="E5" s="5">
        <f t="shared" si="1"/>
        <v>156000</v>
      </c>
      <c r="F5" s="5">
        <f t="shared" si="2"/>
        <v>245700</v>
      </c>
      <c r="G5" s="2">
        <f t="shared" si="3"/>
        <v>73710</v>
      </c>
    </row>
    <row r="6" spans="1:10" x14ac:dyDescent="0.3">
      <c r="A6" s="2">
        <v>105</v>
      </c>
      <c r="B6" s="2" t="s">
        <v>65</v>
      </c>
      <c r="C6" s="5">
        <v>72000</v>
      </c>
      <c r="D6" s="5">
        <f t="shared" si="0"/>
        <v>10800</v>
      </c>
      <c r="E6" s="5">
        <f t="shared" si="1"/>
        <v>144000</v>
      </c>
      <c r="F6" s="5">
        <f t="shared" si="2"/>
        <v>226800</v>
      </c>
      <c r="G6" s="2">
        <f t="shared" si="3"/>
        <v>68040</v>
      </c>
    </row>
    <row r="7" spans="1:10" x14ac:dyDescent="0.3">
      <c r="A7" s="2">
        <v>106</v>
      </c>
      <c r="B7" s="2" t="s">
        <v>66</v>
      </c>
      <c r="C7" s="5">
        <v>45000</v>
      </c>
      <c r="D7" s="5">
        <f t="shared" si="0"/>
        <v>6750</v>
      </c>
      <c r="E7" s="5">
        <f t="shared" si="1"/>
        <v>90000</v>
      </c>
      <c r="F7" s="5">
        <f t="shared" si="2"/>
        <v>141750</v>
      </c>
      <c r="G7" s="2">
        <f t="shared" si="3"/>
        <v>14175</v>
      </c>
    </row>
    <row r="8" spans="1:10" x14ac:dyDescent="0.3">
      <c r="A8" s="2">
        <v>107</v>
      </c>
      <c r="B8" s="2" t="s">
        <v>67</v>
      </c>
      <c r="C8" s="5">
        <v>49000</v>
      </c>
      <c r="D8" s="5">
        <f t="shared" si="0"/>
        <v>7350</v>
      </c>
      <c r="E8" s="5">
        <f t="shared" si="1"/>
        <v>98000</v>
      </c>
      <c r="F8" s="5">
        <f t="shared" si="2"/>
        <v>154350</v>
      </c>
      <c r="G8" s="2">
        <f t="shared" si="3"/>
        <v>30870</v>
      </c>
    </row>
    <row r="9" spans="1:10" x14ac:dyDescent="0.3">
      <c r="A9" s="2">
        <v>108</v>
      </c>
      <c r="B9" s="2" t="s">
        <v>68</v>
      </c>
      <c r="C9" s="5">
        <v>68000</v>
      </c>
      <c r="D9" s="5">
        <f t="shared" si="0"/>
        <v>10200</v>
      </c>
      <c r="E9" s="5">
        <f t="shared" si="1"/>
        <v>136000</v>
      </c>
      <c r="F9" s="5">
        <f t="shared" si="2"/>
        <v>214200</v>
      </c>
      <c r="G9" s="2">
        <f t="shared" si="3"/>
        <v>64260</v>
      </c>
    </row>
    <row r="10" spans="1:10" x14ac:dyDescent="0.3">
      <c r="A10" s="2">
        <v>109</v>
      </c>
      <c r="B10" s="2" t="s">
        <v>69</v>
      </c>
      <c r="C10" s="5">
        <v>56000</v>
      </c>
      <c r="D10" s="5">
        <f t="shared" si="0"/>
        <v>8400</v>
      </c>
      <c r="E10" s="5">
        <f t="shared" si="1"/>
        <v>112000</v>
      </c>
      <c r="F10" s="5">
        <f t="shared" si="2"/>
        <v>176400</v>
      </c>
      <c r="G10" s="2">
        <f t="shared" si="3"/>
        <v>35280</v>
      </c>
    </row>
    <row r="11" spans="1:10" x14ac:dyDescent="0.3">
      <c r="A11" s="2">
        <v>110</v>
      </c>
      <c r="B11" s="2" t="s">
        <v>70</v>
      </c>
      <c r="C11" s="5">
        <v>54000</v>
      </c>
      <c r="D11" s="5">
        <f t="shared" si="0"/>
        <v>8100</v>
      </c>
      <c r="E11" s="5">
        <f t="shared" si="1"/>
        <v>108000</v>
      </c>
      <c r="F11" s="5">
        <f t="shared" si="2"/>
        <v>170100</v>
      </c>
      <c r="G11" s="2">
        <f t="shared" si="3"/>
        <v>34020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Tinker Lab-08</dc:creator>
  <cp:lastModifiedBy>sarafaarya10@gmail.com</cp:lastModifiedBy>
  <dcterms:created xsi:type="dcterms:W3CDTF">2025-10-06T08:49:49Z</dcterms:created>
  <dcterms:modified xsi:type="dcterms:W3CDTF">2025-11-12T12:19:05Z</dcterms:modified>
</cp:coreProperties>
</file>